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4C895F0E-225E-4AE9-856D-1BCED8F14A5E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README" sheetId="1" r:id="rId1"/>
    <sheet name="VISTAS" sheetId="2" r:id="rId2"/>
    <sheet name="ANÁLISIS DE DATOS" sheetId="5" r:id="rId3"/>
  </sheets>
  <calcPr calcId="191029"/>
</workbook>
</file>

<file path=xl/calcChain.xml><?xml version="1.0" encoding="utf-8"?>
<calcChain xmlns="http://schemas.openxmlformats.org/spreadsheetml/2006/main">
  <c r="D48" i="5" l="1"/>
  <c r="C48" i="5"/>
  <c r="B48" i="5"/>
</calcChain>
</file>

<file path=xl/sharedStrings.xml><?xml version="1.0" encoding="utf-8"?>
<sst xmlns="http://schemas.openxmlformats.org/spreadsheetml/2006/main" count="179" uniqueCount="112">
  <si>
    <t>CleanSupply - Informe analítico</t>
  </si>
  <si>
    <t>Contenido</t>
  </si>
  <si>
    <t>1. Vistas: copia exacta de las 3 vistas definidas en 03_objetos_bd.sql</t>
  </si>
  <si>
    <t>3. Gráficos: estado de pedidos, stock por depósito y ventas por cliente</t>
  </si>
  <si>
    <t>Criterio usado</t>
  </si>
  <si>
    <t>El libro fue armado con los datos cargados en 02_insercion_datos.sql.</t>
  </si>
  <si>
    <t>Archivos fuente</t>
  </si>
  <si>
    <t>01_creacion_bd.sql</t>
  </si>
  <si>
    <t>02_insercion_datos.sql</t>
  </si>
  <si>
    <t>03_objetos_bd.sql</t>
  </si>
  <si>
    <t>pedido_id</t>
  </si>
  <si>
    <t>fecha_pedido</t>
  </si>
  <si>
    <t>estado</t>
  </si>
  <si>
    <t>cliente_id</t>
  </si>
  <si>
    <t>nombre_cliente</t>
  </si>
  <si>
    <t>email</t>
  </si>
  <si>
    <t>telefono</t>
  </si>
  <si>
    <t>2026-03-01</t>
  </si>
  <si>
    <t>pendiente</t>
  </si>
  <si>
    <t>Carrefour</t>
  </si>
  <si>
    <t>compras@carrefour.com</t>
  </si>
  <si>
    <t>1134567890</t>
  </si>
  <si>
    <t>2026-03-02</t>
  </si>
  <si>
    <t>preparacion</t>
  </si>
  <si>
    <t>Coto</t>
  </si>
  <si>
    <t>abastecimiento@coto.com</t>
  </si>
  <si>
    <t>1145678901</t>
  </si>
  <si>
    <t>enviado</t>
  </si>
  <si>
    <t>Dia</t>
  </si>
  <si>
    <t>pedidos@dia.com</t>
  </si>
  <si>
    <t>1156789012</t>
  </si>
  <si>
    <t>2026-03-03</t>
  </si>
  <si>
    <t>Jumbo</t>
  </si>
  <si>
    <t>compras@jumbo.com</t>
  </si>
  <si>
    <t>1167890123</t>
  </si>
  <si>
    <t>2026-03-04</t>
  </si>
  <si>
    <t>Disco</t>
  </si>
  <si>
    <t>ventas@disco.com</t>
  </si>
  <si>
    <t>1178901234</t>
  </si>
  <si>
    <t>2026-03-05</t>
  </si>
  <si>
    <t>Makro</t>
  </si>
  <si>
    <t>suministros@makro.com</t>
  </si>
  <si>
    <t>1189012345</t>
  </si>
  <si>
    <t>2026-03-06</t>
  </si>
  <si>
    <t>Vital</t>
  </si>
  <si>
    <t>contacto@vital.com</t>
  </si>
  <si>
    <t>1190123456</t>
  </si>
  <si>
    <t>2026-03-07</t>
  </si>
  <si>
    <t>La Anonima</t>
  </si>
  <si>
    <t>pedidos@laanonima.com</t>
  </si>
  <si>
    <t>1101234567</t>
  </si>
  <si>
    <t>2026-03-08</t>
  </si>
  <si>
    <t>Maxiconsumo</t>
  </si>
  <si>
    <t>abastecimiento@maxiconsumo.com</t>
  </si>
  <si>
    <t>1112345678</t>
  </si>
  <si>
    <t>2026-03-09</t>
  </si>
  <si>
    <t>Changomas</t>
  </si>
  <si>
    <t>compras@changomas.com</t>
  </si>
  <si>
    <t>1123456789</t>
  </si>
  <si>
    <t>detalle_id</t>
  </si>
  <si>
    <t>producto_id</t>
  </si>
  <si>
    <t>nombre_producto</t>
  </si>
  <si>
    <t>categoria</t>
  </si>
  <si>
    <t>precio_unitario</t>
  </si>
  <si>
    <t>cantidad</t>
  </si>
  <si>
    <t>Detergente Limon 500ml</t>
  </si>
  <si>
    <t>Limpieza</t>
  </si>
  <si>
    <t>Lavandina 1L</t>
  </si>
  <si>
    <t>Desinfeccion</t>
  </si>
  <si>
    <t>Jabon Liquido 900ml</t>
  </si>
  <si>
    <t>Higiene</t>
  </si>
  <si>
    <t>Limpiador Multiuso 500ml</t>
  </si>
  <si>
    <t>Desinfectante Floral 700ml</t>
  </si>
  <si>
    <t>Suavizante 1L</t>
  </si>
  <si>
    <t>Lavado</t>
  </si>
  <si>
    <t>Shampoo 400ml</t>
  </si>
  <si>
    <t>Acondicionador 400ml</t>
  </si>
  <si>
    <t>Jabon en Polvo 800g</t>
  </si>
  <si>
    <t>Alcohol en Gel 250ml</t>
  </si>
  <si>
    <t>deposito_id</t>
  </si>
  <si>
    <t>nombre_deposito</t>
  </si>
  <si>
    <t>ciudad</t>
  </si>
  <si>
    <t>stock_disponible</t>
  </si>
  <si>
    <t>stock_reservado</t>
  </si>
  <si>
    <t>Deposito Buenos Aires</t>
  </si>
  <si>
    <t>Buenos Aires</t>
  </si>
  <si>
    <t>Deposito Cordoba</t>
  </si>
  <si>
    <t>Cordoba</t>
  </si>
  <si>
    <t>Deposito Rosario</t>
  </si>
  <si>
    <t>Rosario</t>
  </si>
  <si>
    <t>Pedidos por estado</t>
  </si>
  <si>
    <t>Estado</t>
  </si>
  <si>
    <t>Cantidad de pedidos</t>
  </si>
  <si>
    <t>La base arranca balanceada entre pedidos pendientes, en preparación y enviados.</t>
  </si>
  <si>
    <t>Stock por depósito</t>
  </si>
  <si>
    <t>Depósito</t>
  </si>
  <si>
    <t>Stock disponible</t>
  </si>
  <si>
    <t>Stock reservado</t>
  </si>
  <si>
    <t>Stock actual</t>
  </si>
  <si>
    <t>Ventas por cliente</t>
  </si>
  <si>
    <t>Cliente</t>
  </si>
  <si>
    <t>Pedidos</t>
  </si>
  <si>
    <t>Unidades</t>
  </si>
  <si>
    <t>Monto total ($)</t>
  </si>
  <si>
    <t>TOTAL</t>
  </si>
  <si>
    <t>VISTA DETALLE PEDIDOS</t>
  </si>
  <si>
    <t>VISTA PEDIDOS CLIENTES</t>
  </si>
  <si>
    <t>VISTA INVENTARIO DEPÓSITOS</t>
  </si>
  <si>
    <t>Córdoba muestra el mayor stock actual, seguido por Buenos Aires y Rosario.</t>
  </si>
  <si>
    <t>Changomas concentra los montos más altos</t>
  </si>
  <si>
    <t>2. Análisis: resúmenes calculados a partir de esas vistas</t>
  </si>
  <si>
    <t>Los scripts deben ejecutarse en el siguiente orden: primero el de creación de la base de datos, luego el de inserción de datos y finalmente el de creación de objetos, garantizando así el correcto funcionamiento del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</si>
</sst>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\ #,##0.00"/>
  </numFmts>
  <fonts count="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9FBA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3" fillId="2" borderId="0" xfId="0" applyFont="1" applyFill="1" applyAlignment="1">
      <alignment horizontal="center" vertical="center"/>
    </xf>
    <xf numFmtId="165" fontId="2" fillId="0" borderId="0" xfId="0" applyNumberFormat="1" applyFont="1"/>
    <xf numFmtId="0" fontId="5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'ANÁLISIS DE DATOS'!$B$3</c:f>
              <c:strCache>
                <c:ptCount val="1"/>
                <c:pt idx="0">
                  <c:v>Cantidad de pedidos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'ANÁLISIS DE DATOS'!$A$4:$A$6</c:f>
              <c:strCache>
                <c:ptCount val="3"/>
                <c:pt idx="0">
                  <c:v>pendiente</c:v>
                </c:pt>
                <c:pt idx="1">
                  <c:v>preparacion</c:v>
                </c:pt>
                <c:pt idx="2">
                  <c:v>enviado</c:v>
                </c:pt>
              </c:strCache>
            </c:strRef>
          </c:cat>
          <c:val>
            <c:numRef>
              <c:f>'ANÁLISIS DE DATOS'!$B$4:$B$6</c:f>
              <c:numCache>
                <c:formatCode>#,##0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8-4987-961D-9759DB3D69F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Stock por Depósito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DE DATOS'!$A$20</c:f>
              <c:strCache>
                <c:ptCount val="1"/>
                <c:pt idx="0">
                  <c:v>Deposito Buenos Aires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'ANÁLISIS DE DATOS'!$B$19:$D$19</c:f>
              <c:strCache>
                <c:ptCount val="3"/>
                <c:pt idx="0">
                  <c:v>Stock disponible</c:v>
                </c:pt>
                <c:pt idx="1">
                  <c:v>Stock reservado</c:v>
                </c:pt>
                <c:pt idx="2">
                  <c:v>Stock actual</c:v>
                </c:pt>
              </c:strCache>
            </c:strRef>
          </c:cat>
          <c:val>
            <c:numRef>
              <c:f>'ANÁLISIS DE DATOS'!$B$20:$D$20</c:f>
              <c:numCache>
                <c:formatCode>#,##0</c:formatCode>
                <c:ptCount val="3"/>
                <c:pt idx="0">
                  <c:v>390</c:v>
                </c:pt>
                <c:pt idx="1">
                  <c:v>57</c:v>
                </c:pt>
                <c:pt idx="2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D-4F11-A3FF-A7CA24CDD695}"/>
            </c:ext>
          </c:extLst>
        </c:ser>
        <c:ser>
          <c:idx val="1"/>
          <c:order val="1"/>
          <c:tx>
            <c:strRef>
              <c:f>'ANÁLISIS DE DATOS'!$A$21</c:f>
              <c:strCache>
                <c:ptCount val="1"/>
                <c:pt idx="0">
                  <c:v>Deposito Cordoba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'ANÁLISIS DE DATOS'!$B$19:$D$19</c:f>
              <c:strCache>
                <c:ptCount val="3"/>
                <c:pt idx="0">
                  <c:v>Stock disponible</c:v>
                </c:pt>
                <c:pt idx="1">
                  <c:v>Stock reservado</c:v>
                </c:pt>
                <c:pt idx="2">
                  <c:v>Stock actual</c:v>
                </c:pt>
              </c:strCache>
            </c:strRef>
          </c:cat>
          <c:val>
            <c:numRef>
              <c:f>'ANÁLISIS DE DATOS'!$B$21:$D$21</c:f>
              <c:numCache>
                <c:formatCode>#,##0</c:formatCode>
                <c:ptCount val="3"/>
                <c:pt idx="0">
                  <c:v>420</c:v>
                </c:pt>
                <c:pt idx="1">
                  <c:v>34</c:v>
                </c:pt>
                <c:pt idx="2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4D-4F11-A3FF-A7CA24CDD695}"/>
            </c:ext>
          </c:extLst>
        </c:ser>
        <c:ser>
          <c:idx val="2"/>
          <c:order val="2"/>
          <c:tx>
            <c:strRef>
              <c:f>'ANÁLISIS DE DATOS'!$A$22</c:f>
              <c:strCache>
                <c:ptCount val="1"/>
                <c:pt idx="0">
                  <c:v>Deposito Rosario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'ANÁLISIS DE DATOS'!$B$19:$D$19</c:f>
              <c:strCache>
                <c:ptCount val="3"/>
                <c:pt idx="0">
                  <c:v>Stock disponible</c:v>
                </c:pt>
                <c:pt idx="1">
                  <c:v>Stock reservado</c:v>
                </c:pt>
                <c:pt idx="2">
                  <c:v>Stock actual</c:v>
                </c:pt>
              </c:strCache>
            </c:strRef>
          </c:cat>
          <c:val>
            <c:numRef>
              <c:f>'ANÁLISIS DE DATOS'!$B$22:$D$22</c:f>
              <c:numCache>
                <c:formatCode>#,##0</c:formatCode>
                <c:ptCount val="3"/>
                <c:pt idx="0">
                  <c:v>355</c:v>
                </c:pt>
                <c:pt idx="1">
                  <c:v>34</c:v>
                </c:pt>
                <c:pt idx="2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4D-4F11-A3FF-A7CA24CDD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41189584"/>
        <c:axId val="1739813568"/>
      </c:barChart>
      <c:catAx>
        <c:axId val="184118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9813568"/>
        <c:crosses val="autoZero"/>
        <c:auto val="1"/>
        <c:lblAlgn val="ctr"/>
        <c:lblOffset val="100"/>
        <c:noMultiLvlLbl val="0"/>
      </c:catAx>
      <c:valAx>
        <c:axId val="173981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4118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Ventas</a:t>
            </a:r>
            <a:r>
              <a:rPr lang="es-AR" baseline="0"/>
              <a:t> por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'ANÁLISIS DE DATOS'!$B$37</c:f>
              <c:strCache>
                <c:ptCount val="1"/>
                <c:pt idx="0">
                  <c:v>Pedidos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'ANÁLISIS DE DATOS'!$A$38:$A$47</c:f>
              <c:strCache>
                <c:ptCount val="10"/>
                <c:pt idx="0">
                  <c:v>Carrefour</c:v>
                </c:pt>
                <c:pt idx="1">
                  <c:v>Changomas</c:v>
                </c:pt>
                <c:pt idx="2">
                  <c:v>Coto</c:v>
                </c:pt>
                <c:pt idx="3">
                  <c:v>Dia</c:v>
                </c:pt>
                <c:pt idx="4">
                  <c:v>Disco</c:v>
                </c:pt>
                <c:pt idx="5">
                  <c:v>Jumbo</c:v>
                </c:pt>
                <c:pt idx="6">
                  <c:v>La Anonima</c:v>
                </c:pt>
                <c:pt idx="7">
                  <c:v>Makro</c:v>
                </c:pt>
                <c:pt idx="8">
                  <c:v>Maxiconsumo</c:v>
                </c:pt>
                <c:pt idx="9">
                  <c:v>Vital</c:v>
                </c:pt>
              </c:strCache>
            </c:strRef>
          </c:cat>
          <c:val>
            <c:numRef>
              <c:f>'ANÁLISIS DE DATOS'!$B$38:$B$47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D-467E-BAC2-6C61A8D884FD}"/>
            </c:ext>
          </c:extLst>
        </c:ser>
        <c:ser>
          <c:idx val="1"/>
          <c:order val="1"/>
          <c:tx>
            <c:strRef>
              <c:f>'ANÁLISIS DE DATOS'!$C$37</c:f>
              <c:strCache>
                <c:ptCount val="1"/>
                <c:pt idx="0">
                  <c:v>Unidades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'ANÁLISIS DE DATOS'!$A$38:$A$47</c:f>
              <c:strCache>
                <c:ptCount val="10"/>
                <c:pt idx="0">
                  <c:v>Carrefour</c:v>
                </c:pt>
                <c:pt idx="1">
                  <c:v>Changomas</c:v>
                </c:pt>
                <c:pt idx="2">
                  <c:v>Coto</c:v>
                </c:pt>
                <c:pt idx="3">
                  <c:v>Dia</c:v>
                </c:pt>
                <c:pt idx="4">
                  <c:v>Disco</c:v>
                </c:pt>
                <c:pt idx="5">
                  <c:v>Jumbo</c:v>
                </c:pt>
                <c:pt idx="6">
                  <c:v>La Anonima</c:v>
                </c:pt>
                <c:pt idx="7">
                  <c:v>Makro</c:v>
                </c:pt>
                <c:pt idx="8">
                  <c:v>Maxiconsumo</c:v>
                </c:pt>
                <c:pt idx="9">
                  <c:v>Vital</c:v>
                </c:pt>
              </c:strCache>
            </c:strRef>
          </c:cat>
          <c:val>
            <c:numRef>
              <c:f>'ANÁLISIS DE DATOS'!$C$38:$C$47</c:f>
              <c:numCache>
                <c:formatCode>General</c:formatCode>
                <c:ptCount val="10"/>
                <c:pt idx="0">
                  <c:v>18</c:v>
                </c:pt>
                <c:pt idx="1">
                  <c:v>20</c:v>
                </c:pt>
                <c:pt idx="2">
                  <c:v>10</c:v>
                </c:pt>
                <c:pt idx="3">
                  <c:v>12</c:v>
                </c:pt>
                <c:pt idx="4">
                  <c:v>7</c:v>
                </c:pt>
                <c:pt idx="5">
                  <c:v>5</c:v>
                </c:pt>
                <c:pt idx="6">
                  <c:v>15</c:v>
                </c:pt>
                <c:pt idx="7">
                  <c:v>3</c:v>
                </c:pt>
                <c:pt idx="8">
                  <c:v>11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CD-467E-BAC2-6C61A8D884FD}"/>
            </c:ext>
          </c:extLst>
        </c:ser>
        <c:ser>
          <c:idx val="2"/>
          <c:order val="2"/>
          <c:tx>
            <c:strRef>
              <c:f>'ANÁLISIS DE DATOS'!$D$37</c:f>
              <c:strCache>
                <c:ptCount val="1"/>
                <c:pt idx="0">
                  <c:v>Monto total ($)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'ANÁLISIS DE DATOS'!$A$38:$A$47</c:f>
              <c:strCache>
                <c:ptCount val="10"/>
                <c:pt idx="0">
                  <c:v>Carrefour</c:v>
                </c:pt>
                <c:pt idx="1">
                  <c:v>Changomas</c:v>
                </c:pt>
                <c:pt idx="2">
                  <c:v>Coto</c:v>
                </c:pt>
                <c:pt idx="3">
                  <c:v>Dia</c:v>
                </c:pt>
                <c:pt idx="4">
                  <c:v>Disco</c:v>
                </c:pt>
                <c:pt idx="5">
                  <c:v>Jumbo</c:v>
                </c:pt>
                <c:pt idx="6">
                  <c:v>La Anonima</c:v>
                </c:pt>
                <c:pt idx="7">
                  <c:v>Makro</c:v>
                </c:pt>
                <c:pt idx="8">
                  <c:v>Maxiconsumo</c:v>
                </c:pt>
                <c:pt idx="9">
                  <c:v>Vital</c:v>
                </c:pt>
              </c:strCache>
            </c:strRef>
          </c:cat>
          <c:val>
            <c:numRef>
              <c:f>'ANÁLISIS DE DATOS'!$D$38:$D$47</c:f>
              <c:numCache>
                <c:formatCode>\$\ #,##0.00</c:formatCode>
                <c:ptCount val="10"/>
                <c:pt idx="0">
                  <c:v>13460</c:v>
                </c:pt>
                <c:pt idx="1">
                  <c:v>17000</c:v>
                </c:pt>
                <c:pt idx="2">
                  <c:v>13100</c:v>
                </c:pt>
                <c:pt idx="3">
                  <c:v>11760</c:v>
                </c:pt>
                <c:pt idx="4">
                  <c:v>14700</c:v>
                </c:pt>
                <c:pt idx="5">
                  <c:v>6750</c:v>
                </c:pt>
                <c:pt idx="6">
                  <c:v>13500</c:v>
                </c:pt>
                <c:pt idx="7">
                  <c:v>6450</c:v>
                </c:pt>
                <c:pt idx="8">
                  <c:v>6820</c:v>
                </c:pt>
                <c:pt idx="9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CD-467E-BAC2-6C61A8D88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64389280"/>
        <c:axId val="1402163408"/>
      </c:barChart>
      <c:catAx>
        <c:axId val="2064389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02163408"/>
        <c:crosses val="autoZero"/>
        <c:auto val="1"/>
        <c:lblAlgn val="ctr"/>
        <c:lblOffset val="100"/>
        <c:noMultiLvlLbl val="0"/>
      </c:catAx>
      <c:valAx>
        <c:axId val="140216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6438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1</xdr:row>
      <xdr:rowOff>6350</xdr:rowOff>
    </xdr:from>
    <xdr:to>
      <xdr:col>12</xdr:col>
      <xdr:colOff>596900</xdr:colOff>
      <xdr:row>13</xdr:row>
      <xdr:rowOff>114306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97AFE3-433A-4513-8509-375638D08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</xdr:colOff>
      <xdr:row>18</xdr:row>
      <xdr:rowOff>25400</xdr:rowOff>
    </xdr:from>
    <xdr:to>
      <xdr:col>13</xdr:col>
      <xdr:colOff>6350</xdr:colOff>
      <xdr:row>33</xdr:row>
      <xdr:rowOff>6350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7E06E5C-58A9-4E60-874D-9021A55C9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36</xdr:row>
      <xdr:rowOff>19050</xdr:rowOff>
    </xdr:from>
    <xdr:to>
      <xdr:col>13</xdr:col>
      <xdr:colOff>6351</xdr:colOff>
      <xdr:row>51</xdr:row>
      <xdr:rowOff>12700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25B371B-5645-4185-8A86-9A724BA15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showGridLines="0" tabSelected="1" workbookViewId="0"/>
  </sheetViews>
  <sheetFormatPr baseColWidth="10" defaultColWidth="8.7265625" defaultRowHeight="14.5" x14ac:dyDescent="0.35"/>
  <cols>
    <col min="1" max="1" width="110" customWidth="1"/>
  </cols>
  <sheetData>
    <row r="1" spans="1:1" ht="21" x14ac:dyDescent="0.35">
      <c r="A1" s="7" t="s">
        <v>0</v>
      </c>
    </row>
    <row r="3" spans="1:1" x14ac:dyDescent="0.35">
      <c r="A3" s="1" t="s">
        <v>1</v>
      </c>
    </row>
    <row r="4" spans="1:1" x14ac:dyDescent="0.35">
      <c r="A4" t="s">
        <v>2</v>
      </c>
    </row>
    <row r="5" spans="1:1" x14ac:dyDescent="0.35">
      <c r="A5" t="s">
        <v>110</v>
      </c>
    </row>
    <row r="6" spans="1:1" x14ac:dyDescent="0.35">
      <c r="A6" t="s">
        <v>3</v>
      </c>
    </row>
    <row r="8" spans="1:1" x14ac:dyDescent="0.35">
      <c r="A8" s="1" t="s">
        <v>4</v>
      </c>
    </row>
    <row r="9" spans="1:1" x14ac:dyDescent="0.35">
      <c r="A9" t="s">
        <v>5</v>
      </c>
    </row>
    <row r="11" spans="1:1" x14ac:dyDescent="0.35">
      <c r="A11" s="1" t="s">
        <v>6</v>
      </c>
    </row>
    <row r="12" spans="1:1" x14ac:dyDescent="0.35">
      <c r="A12" t="s">
        <v>7</v>
      </c>
    </row>
    <row r="13" spans="1:1" x14ac:dyDescent="0.35">
      <c r="A13" t="s">
        <v>8</v>
      </c>
    </row>
    <row r="14" spans="1:1" x14ac:dyDescent="0.35">
      <c r="A14" t="s">
        <v>9</v>
      </c>
    </row>
    <row r="16" spans="1:1" ht="29" x14ac:dyDescent="0.35">
      <c r="A16" s="17" t="s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showGridLines="0" workbookViewId="0">
      <selection sqref="A1:G1"/>
    </sheetView>
  </sheetViews>
  <sheetFormatPr baseColWidth="10" defaultColWidth="8.7265625" defaultRowHeight="14.5" x14ac:dyDescent="0.35"/>
  <cols>
    <col min="1" max="1" width="10.7265625" style="8" bestFit="1" customWidth="1"/>
    <col min="2" max="2" width="19.6328125" style="8" bestFit="1" customWidth="1"/>
    <col min="3" max="3" width="11.6328125" style="8" bestFit="1" customWidth="1"/>
    <col min="4" max="5" width="23.08984375" style="8" bestFit="1" customWidth="1"/>
    <col min="6" max="6" width="31.453125" style="8" bestFit="1" customWidth="1"/>
    <col min="7" max="7" width="14.6328125" style="8" bestFit="1" customWidth="1"/>
    <col min="8" max="16384" width="8.7265625" style="8"/>
  </cols>
  <sheetData>
    <row r="1" spans="1:7" ht="28" customHeight="1" x14ac:dyDescent="0.35">
      <c r="A1" s="6" t="s">
        <v>106</v>
      </c>
      <c r="B1" s="6"/>
      <c r="C1" s="6"/>
      <c r="D1" s="6"/>
      <c r="E1" s="6"/>
      <c r="F1" s="6"/>
      <c r="G1" s="6"/>
    </row>
    <row r="2" spans="1:7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</row>
    <row r="3" spans="1:7" x14ac:dyDescent="0.35">
      <c r="A3" s="8">
        <v>4000</v>
      </c>
      <c r="B3" s="15" t="s">
        <v>17</v>
      </c>
      <c r="C3" s="8" t="s">
        <v>18</v>
      </c>
      <c r="D3" s="8">
        <v>1000</v>
      </c>
      <c r="E3" s="8" t="s">
        <v>19</v>
      </c>
      <c r="F3" s="8" t="s">
        <v>20</v>
      </c>
      <c r="G3" s="8" t="s">
        <v>21</v>
      </c>
    </row>
    <row r="4" spans="1:7" x14ac:dyDescent="0.35">
      <c r="A4" s="8">
        <v>4001</v>
      </c>
      <c r="B4" s="15" t="s">
        <v>22</v>
      </c>
      <c r="C4" s="8" t="s">
        <v>23</v>
      </c>
      <c r="D4" s="8">
        <v>1001</v>
      </c>
      <c r="E4" s="8" t="s">
        <v>24</v>
      </c>
      <c r="F4" s="8" t="s">
        <v>25</v>
      </c>
      <c r="G4" s="8" t="s">
        <v>26</v>
      </c>
    </row>
    <row r="5" spans="1:7" x14ac:dyDescent="0.35">
      <c r="A5" s="8">
        <v>4002</v>
      </c>
      <c r="B5" s="15" t="s">
        <v>22</v>
      </c>
      <c r="C5" s="8" t="s">
        <v>27</v>
      </c>
      <c r="D5" s="8">
        <v>1002</v>
      </c>
      <c r="E5" s="8" t="s">
        <v>28</v>
      </c>
      <c r="F5" s="8" t="s">
        <v>29</v>
      </c>
      <c r="G5" s="8" t="s">
        <v>30</v>
      </c>
    </row>
    <row r="6" spans="1:7" x14ac:dyDescent="0.35">
      <c r="A6" s="8">
        <v>4003</v>
      </c>
      <c r="B6" s="15" t="s">
        <v>31</v>
      </c>
      <c r="C6" s="8" t="s">
        <v>18</v>
      </c>
      <c r="D6" s="8">
        <v>1003</v>
      </c>
      <c r="E6" s="8" t="s">
        <v>32</v>
      </c>
      <c r="F6" s="8" t="s">
        <v>33</v>
      </c>
      <c r="G6" s="8" t="s">
        <v>34</v>
      </c>
    </row>
    <row r="7" spans="1:7" x14ac:dyDescent="0.35">
      <c r="A7" s="8">
        <v>4004</v>
      </c>
      <c r="B7" s="15" t="s">
        <v>35</v>
      </c>
      <c r="C7" s="8" t="s">
        <v>23</v>
      </c>
      <c r="D7" s="8">
        <v>1004</v>
      </c>
      <c r="E7" s="8" t="s">
        <v>36</v>
      </c>
      <c r="F7" s="8" t="s">
        <v>37</v>
      </c>
      <c r="G7" s="8" t="s">
        <v>38</v>
      </c>
    </row>
    <row r="8" spans="1:7" x14ac:dyDescent="0.35">
      <c r="A8" s="8">
        <v>4005</v>
      </c>
      <c r="B8" s="15" t="s">
        <v>39</v>
      </c>
      <c r="C8" s="8" t="s">
        <v>27</v>
      </c>
      <c r="D8" s="8">
        <v>1005</v>
      </c>
      <c r="E8" s="8" t="s">
        <v>40</v>
      </c>
      <c r="F8" s="8" t="s">
        <v>41</v>
      </c>
      <c r="G8" s="8" t="s">
        <v>42</v>
      </c>
    </row>
    <row r="9" spans="1:7" x14ac:dyDescent="0.35">
      <c r="A9" s="8">
        <v>4006</v>
      </c>
      <c r="B9" s="15" t="s">
        <v>43</v>
      </c>
      <c r="C9" s="8" t="s">
        <v>18</v>
      </c>
      <c r="D9" s="8">
        <v>1006</v>
      </c>
      <c r="E9" s="8" t="s">
        <v>44</v>
      </c>
      <c r="F9" s="8" t="s">
        <v>45</v>
      </c>
      <c r="G9" s="8" t="s">
        <v>46</v>
      </c>
    </row>
    <row r="10" spans="1:7" x14ac:dyDescent="0.35">
      <c r="A10" s="8">
        <v>4007</v>
      </c>
      <c r="B10" s="15" t="s">
        <v>47</v>
      </c>
      <c r="C10" s="8" t="s">
        <v>23</v>
      </c>
      <c r="D10" s="8">
        <v>1007</v>
      </c>
      <c r="E10" s="8" t="s">
        <v>48</v>
      </c>
      <c r="F10" s="8" t="s">
        <v>49</v>
      </c>
      <c r="G10" s="8" t="s">
        <v>50</v>
      </c>
    </row>
    <row r="11" spans="1:7" x14ac:dyDescent="0.35">
      <c r="A11" s="8">
        <v>4008</v>
      </c>
      <c r="B11" s="15" t="s">
        <v>51</v>
      </c>
      <c r="C11" s="8" t="s">
        <v>18</v>
      </c>
      <c r="D11" s="8">
        <v>1008</v>
      </c>
      <c r="E11" s="8" t="s">
        <v>52</v>
      </c>
      <c r="F11" s="8" t="s">
        <v>53</v>
      </c>
      <c r="G11" s="8" t="s">
        <v>54</v>
      </c>
    </row>
    <row r="12" spans="1:7" x14ac:dyDescent="0.35">
      <c r="A12" s="8">
        <v>4009</v>
      </c>
      <c r="B12" s="15" t="s">
        <v>55</v>
      </c>
      <c r="C12" s="8" t="s">
        <v>27</v>
      </c>
      <c r="D12" s="8">
        <v>1009</v>
      </c>
      <c r="E12" s="8" t="s">
        <v>56</v>
      </c>
      <c r="F12" s="8" t="s">
        <v>57</v>
      </c>
      <c r="G12" s="8" t="s">
        <v>58</v>
      </c>
    </row>
    <row r="14" spans="1:7" ht="3" customHeight="1" x14ac:dyDescent="0.35"/>
    <row r="15" spans="1:7" ht="29" customHeight="1" x14ac:dyDescent="0.35">
      <c r="A15" s="6" t="s">
        <v>105</v>
      </c>
      <c r="B15" s="6"/>
      <c r="C15" s="6"/>
      <c r="D15" s="6"/>
      <c r="E15" s="6"/>
      <c r="F15" s="6"/>
      <c r="G15" s="6"/>
    </row>
    <row r="16" spans="1:7" x14ac:dyDescent="0.35">
      <c r="A16" s="2" t="s">
        <v>59</v>
      </c>
      <c r="B16" s="2" t="s">
        <v>10</v>
      </c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64</v>
      </c>
    </row>
    <row r="17" spans="1:7" x14ac:dyDescent="0.35">
      <c r="A17" s="8">
        <v>5000</v>
      </c>
      <c r="B17" s="8">
        <v>4000</v>
      </c>
      <c r="C17" s="8">
        <v>2000</v>
      </c>
      <c r="D17" s="8" t="s">
        <v>65</v>
      </c>
      <c r="E17" s="8" t="s">
        <v>66</v>
      </c>
      <c r="F17" s="16">
        <v>850</v>
      </c>
      <c r="G17" s="8">
        <v>10</v>
      </c>
    </row>
    <row r="18" spans="1:7" x14ac:dyDescent="0.35">
      <c r="A18" s="8">
        <v>5001</v>
      </c>
      <c r="B18" s="8">
        <v>4000</v>
      </c>
      <c r="C18" s="8">
        <v>2001</v>
      </c>
      <c r="D18" s="8" t="s">
        <v>67</v>
      </c>
      <c r="E18" s="8" t="s">
        <v>68</v>
      </c>
      <c r="F18" s="16">
        <v>620</v>
      </c>
      <c r="G18" s="8">
        <v>8</v>
      </c>
    </row>
    <row r="19" spans="1:7" x14ac:dyDescent="0.35">
      <c r="A19" s="8">
        <v>5002</v>
      </c>
      <c r="B19" s="8">
        <v>4001</v>
      </c>
      <c r="C19" s="8">
        <v>2002</v>
      </c>
      <c r="D19" s="8" t="s">
        <v>69</v>
      </c>
      <c r="E19" s="8" t="s">
        <v>70</v>
      </c>
      <c r="F19" s="16">
        <v>1450</v>
      </c>
      <c r="G19" s="8">
        <v>6</v>
      </c>
    </row>
    <row r="20" spans="1:7" x14ac:dyDescent="0.35">
      <c r="A20" s="8">
        <v>5003</v>
      </c>
      <c r="B20" s="8">
        <v>4001</v>
      </c>
      <c r="C20" s="8">
        <v>2004</v>
      </c>
      <c r="D20" s="8" t="s">
        <v>71</v>
      </c>
      <c r="E20" s="8" t="s">
        <v>66</v>
      </c>
      <c r="F20" s="16">
        <v>1100</v>
      </c>
      <c r="G20" s="8">
        <v>4</v>
      </c>
    </row>
    <row r="21" spans="1:7" x14ac:dyDescent="0.35">
      <c r="A21" s="8">
        <v>5004</v>
      </c>
      <c r="B21" s="8">
        <v>4002</v>
      </c>
      <c r="C21" s="8">
        <v>2003</v>
      </c>
      <c r="D21" s="8" t="s">
        <v>72</v>
      </c>
      <c r="E21" s="8" t="s">
        <v>68</v>
      </c>
      <c r="F21" s="16">
        <v>980</v>
      </c>
      <c r="G21" s="8">
        <v>12</v>
      </c>
    </row>
    <row r="22" spans="1:7" x14ac:dyDescent="0.35">
      <c r="A22" s="8">
        <v>5005</v>
      </c>
      <c r="B22" s="8">
        <v>4003</v>
      </c>
      <c r="C22" s="8">
        <v>2005</v>
      </c>
      <c r="D22" s="8" t="s">
        <v>73</v>
      </c>
      <c r="E22" s="8" t="s">
        <v>74</v>
      </c>
      <c r="F22" s="16">
        <v>1350</v>
      </c>
      <c r="G22" s="8">
        <v>5</v>
      </c>
    </row>
    <row r="23" spans="1:7" x14ac:dyDescent="0.35">
      <c r="A23" s="8">
        <v>5006</v>
      </c>
      <c r="B23" s="8">
        <v>4004</v>
      </c>
      <c r="C23" s="8">
        <v>2006</v>
      </c>
      <c r="D23" s="8" t="s">
        <v>75</v>
      </c>
      <c r="E23" s="8" t="s">
        <v>70</v>
      </c>
      <c r="F23" s="16">
        <v>2100</v>
      </c>
      <c r="G23" s="8">
        <v>7</v>
      </c>
    </row>
    <row r="24" spans="1:7" x14ac:dyDescent="0.35">
      <c r="A24" s="8">
        <v>5007</v>
      </c>
      <c r="B24" s="8">
        <v>4005</v>
      </c>
      <c r="C24" s="8">
        <v>2007</v>
      </c>
      <c r="D24" s="8" t="s">
        <v>76</v>
      </c>
      <c r="E24" s="8" t="s">
        <v>70</v>
      </c>
      <c r="F24" s="16">
        <v>2150</v>
      </c>
      <c r="G24" s="8">
        <v>3</v>
      </c>
    </row>
    <row r="25" spans="1:7" x14ac:dyDescent="0.35">
      <c r="A25" s="8">
        <v>5008</v>
      </c>
      <c r="B25" s="8">
        <v>4006</v>
      </c>
      <c r="C25" s="8">
        <v>2008</v>
      </c>
      <c r="D25" s="8" t="s">
        <v>77</v>
      </c>
      <c r="E25" s="8" t="s">
        <v>74</v>
      </c>
      <c r="F25" s="16">
        <v>1750</v>
      </c>
      <c r="G25" s="8">
        <v>9</v>
      </c>
    </row>
    <row r="26" spans="1:7" x14ac:dyDescent="0.35">
      <c r="A26" s="8">
        <v>5009</v>
      </c>
      <c r="B26" s="8">
        <v>4007</v>
      </c>
      <c r="C26" s="8">
        <v>2009</v>
      </c>
      <c r="D26" s="8" t="s">
        <v>78</v>
      </c>
      <c r="E26" s="8" t="s">
        <v>70</v>
      </c>
      <c r="F26" s="16">
        <v>900</v>
      </c>
      <c r="G26" s="8">
        <v>15</v>
      </c>
    </row>
    <row r="27" spans="1:7" x14ac:dyDescent="0.35">
      <c r="A27" s="8">
        <v>5010</v>
      </c>
      <c r="B27" s="8">
        <v>4008</v>
      </c>
      <c r="C27" s="8">
        <v>2001</v>
      </c>
      <c r="D27" s="8" t="s">
        <v>67</v>
      </c>
      <c r="E27" s="8" t="s">
        <v>68</v>
      </c>
      <c r="F27" s="16">
        <v>620</v>
      </c>
      <c r="G27" s="8">
        <v>11</v>
      </c>
    </row>
    <row r="28" spans="1:7" x14ac:dyDescent="0.35">
      <c r="A28" s="8">
        <v>5011</v>
      </c>
      <c r="B28" s="8">
        <v>4009</v>
      </c>
      <c r="C28" s="8">
        <v>2000</v>
      </c>
      <c r="D28" s="8" t="s">
        <v>65</v>
      </c>
      <c r="E28" s="8" t="s">
        <v>66</v>
      </c>
      <c r="F28" s="16">
        <v>850</v>
      </c>
      <c r="G28" s="8">
        <v>20</v>
      </c>
    </row>
    <row r="30" spans="1:7" ht="26.5" customHeight="1" x14ac:dyDescent="0.35">
      <c r="A30" s="6" t="s">
        <v>107</v>
      </c>
      <c r="B30" s="6"/>
      <c r="C30" s="6"/>
      <c r="D30" s="6"/>
      <c r="E30" s="6"/>
      <c r="F30" s="6"/>
      <c r="G30" s="6"/>
    </row>
    <row r="31" spans="1:7" x14ac:dyDescent="0.35">
      <c r="A31" s="2" t="s">
        <v>79</v>
      </c>
      <c r="B31" s="2" t="s">
        <v>80</v>
      </c>
      <c r="C31" s="2" t="s">
        <v>81</v>
      </c>
      <c r="D31" s="2" t="s">
        <v>60</v>
      </c>
      <c r="E31" s="2" t="s">
        <v>61</v>
      </c>
      <c r="F31" s="2" t="s">
        <v>82</v>
      </c>
      <c r="G31" s="2" t="s">
        <v>83</v>
      </c>
    </row>
    <row r="32" spans="1:7" x14ac:dyDescent="0.35">
      <c r="A32" s="8">
        <v>3000</v>
      </c>
      <c r="B32" s="8" t="s">
        <v>84</v>
      </c>
      <c r="C32" s="8" t="s">
        <v>85</v>
      </c>
      <c r="D32" s="8">
        <v>2000</v>
      </c>
      <c r="E32" s="8" t="s">
        <v>65</v>
      </c>
      <c r="F32" s="8">
        <v>120</v>
      </c>
      <c r="G32" s="8">
        <v>20</v>
      </c>
    </row>
    <row r="33" spans="1:7" x14ac:dyDescent="0.35">
      <c r="A33" s="8">
        <v>3000</v>
      </c>
      <c r="B33" s="8" t="s">
        <v>84</v>
      </c>
      <c r="C33" s="8" t="s">
        <v>85</v>
      </c>
      <c r="D33" s="8">
        <v>2001</v>
      </c>
      <c r="E33" s="8" t="s">
        <v>67</v>
      </c>
      <c r="F33" s="8">
        <v>100</v>
      </c>
      <c r="G33" s="8">
        <v>15</v>
      </c>
    </row>
    <row r="34" spans="1:7" x14ac:dyDescent="0.35">
      <c r="A34" s="8">
        <v>3000</v>
      </c>
      <c r="B34" s="8" t="s">
        <v>84</v>
      </c>
      <c r="C34" s="8" t="s">
        <v>85</v>
      </c>
      <c r="D34" s="8">
        <v>2002</v>
      </c>
      <c r="E34" s="8" t="s">
        <v>69</v>
      </c>
      <c r="F34" s="8">
        <v>80</v>
      </c>
      <c r="G34" s="8">
        <v>10</v>
      </c>
    </row>
    <row r="35" spans="1:7" x14ac:dyDescent="0.35">
      <c r="A35" s="8">
        <v>3000</v>
      </c>
      <c r="B35" s="8" t="s">
        <v>84</v>
      </c>
      <c r="C35" s="8" t="s">
        <v>85</v>
      </c>
      <c r="D35" s="8">
        <v>2003</v>
      </c>
      <c r="E35" s="8" t="s">
        <v>72</v>
      </c>
      <c r="F35" s="8">
        <v>90</v>
      </c>
      <c r="G35" s="8">
        <v>12</v>
      </c>
    </row>
    <row r="36" spans="1:7" x14ac:dyDescent="0.35">
      <c r="A36" s="8">
        <v>3001</v>
      </c>
      <c r="B36" s="8" t="s">
        <v>86</v>
      </c>
      <c r="C36" s="8" t="s">
        <v>87</v>
      </c>
      <c r="D36" s="8">
        <v>2004</v>
      </c>
      <c r="E36" s="8" t="s">
        <v>71</v>
      </c>
      <c r="F36" s="8">
        <v>110</v>
      </c>
      <c r="G36" s="8">
        <v>8</v>
      </c>
    </row>
    <row r="37" spans="1:7" x14ac:dyDescent="0.35">
      <c r="A37" s="8">
        <v>3001</v>
      </c>
      <c r="B37" s="8" t="s">
        <v>86</v>
      </c>
      <c r="C37" s="8" t="s">
        <v>87</v>
      </c>
      <c r="D37" s="8">
        <v>2005</v>
      </c>
      <c r="E37" s="8" t="s">
        <v>73</v>
      </c>
      <c r="F37" s="8">
        <v>95</v>
      </c>
      <c r="G37" s="8">
        <v>5</v>
      </c>
    </row>
    <row r="38" spans="1:7" x14ac:dyDescent="0.35">
      <c r="A38" s="8">
        <v>3001</v>
      </c>
      <c r="B38" s="8" t="s">
        <v>86</v>
      </c>
      <c r="C38" s="8" t="s">
        <v>87</v>
      </c>
      <c r="D38" s="8">
        <v>2006</v>
      </c>
      <c r="E38" s="8" t="s">
        <v>75</v>
      </c>
      <c r="F38" s="8">
        <v>70</v>
      </c>
      <c r="G38" s="8">
        <v>7</v>
      </c>
    </row>
    <row r="39" spans="1:7" x14ac:dyDescent="0.35">
      <c r="A39" s="8">
        <v>3001</v>
      </c>
      <c r="B39" s="8" t="s">
        <v>86</v>
      </c>
      <c r="C39" s="8" t="s">
        <v>87</v>
      </c>
      <c r="D39" s="8">
        <v>2007</v>
      </c>
      <c r="E39" s="8" t="s">
        <v>76</v>
      </c>
      <c r="F39" s="8">
        <v>60</v>
      </c>
      <c r="G39" s="8">
        <v>3</v>
      </c>
    </row>
    <row r="40" spans="1:7" x14ac:dyDescent="0.35">
      <c r="A40" s="8">
        <v>3002</v>
      </c>
      <c r="B40" s="8" t="s">
        <v>88</v>
      </c>
      <c r="C40" s="8" t="s">
        <v>89</v>
      </c>
      <c r="D40" s="8">
        <v>2008</v>
      </c>
      <c r="E40" s="8" t="s">
        <v>77</v>
      </c>
      <c r="F40" s="8">
        <v>130</v>
      </c>
      <c r="G40" s="8">
        <v>9</v>
      </c>
    </row>
    <row r="41" spans="1:7" x14ac:dyDescent="0.35">
      <c r="A41" s="8">
        <v>3002</v>
      </c>
      <c r="B41" s="8" t="s">
        <v>88</v>
      </c>
      <c r="C41" s="8" t="s">
        <v>89</v>
      </c>
      <c r="D41" s="8">
        <v>2009</v>
      </c>
      <c r="E41" s="8" t="s">
        <v>78</v>
      </c>
      <c r="F41" s="8">
        <v>150</v>
      </c>
      <c r="G41" s="8">
        <v>15</v>
      </c>
    </row>
    <row r="42" spans="1:7" x14ac:dyDescent="0.35">
      <c r="A42" s="8">
        <v>3002</v>
      </c>
      <c r="B42" s="8" t="s">
        <v>88</v>
      </c>
      <c r="C42" s="8" t="s">
        <v>89</v>
      </c>
      <c r="D42" s="8">
        <v>2000</v>
      </c>
      <c r="E42" s="8" t="s">
        <v>65</v>
      </c>
      <c r="F42" s="8">
        <v>75</v>
      </c>
      <c r="G42" s="8">
        <v>10</v>
      </c>
    </row>
    <row r="43" spans="1:7" x14ac:dyDescent="0.35">
      <c r="A43" s="8">
        <v>3001</v>
      </c>
      <c r="B43" s="8" t="s">
        <v>86</v>
      </c>
      <c r="C43" s="8" t="s">
        <v>87</v>
      </c>
      <c r="D43" s="8">
        <v>2001</v>
      </c>
      <c r="E43" s="8" t="s">
        <v>67</v>
      </c>
      <c r="F43" s="8">
        <v>85</v>
      </c>
      <c r="G43" s="8">
        <v>11</v>
      </c>
    </row>
  </sheetData>
  <mergeCells count="3">
    <mergeCell ref="A1:G1"/>
    <mergeCell ref="A15:G15"/>
    <mergeCell ref="A30:G30"/>
  </mergeCells>
  <pageMargins left="0.75" right="0.75" top="1" bottom="1" header="0.5" footer="0.5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8"/>
  <sheetViews>
    <sheetView showGridLines="0" workbookViewId="0">
      <selection activeCell="A2" sqref="A2:B2"/>
    </sheetView>
  </sheetViews>
  <sheetFormatPr baseColWidth="10" defaultColWidth="8.7265625" defaultRowHeight="14.5" x14ac:dyDescent="0.35"/>
  <cols>
    <col min="1" max="1" width="25.54296875" customWidth="1"/>
    <col min="2" max="2" width="18.08984375" bestFit="1" customWidth="1"/>
    <col min="3" max="3" width="14.1796875" bestFit="1" customWidth="1"/>
    <col min="4" max="4" width="18" customWidth="1"/>
  </cols>
  <sheetData>
    <row r="1" spans="1:13" ht="42.5" customHeight="1" x14ac:dyDescent="0.35">
      <c r="F1" s="13" t="s">
        <v>93</v>
      </c>
      <c r="G1" s="13"/>
      <c r="H1" s="13"/>
      <c r="I1" s="13"/>
      <c r="J1" s="13"/>
      <c r="K1" s="13"/>
      <c r="L1" s="13"/>
      <c r="M1" s="13"/>
    </row>
    <row r="2" spans="1:13" ht="22.5" customHeight="1" x14ac:dyDescent="0.35">
      <c r="A2" s="11" t="s">
        <v>90</v>
      </c>
      <c r="B2" s="12"/>
    </row>
    <row r="3" spans="1:13" x14ac:dyDescent="0.35">
      <c r="A3" s="4" t="s">
        <v>91</v>
      </c>
      <c r="B3" s="4" t="s">
        <v>92</v>
      </c>
    </row>
    <row r="4" spans="1:13" ht="23" customHeight="1" x14ac:dyDescent="0.35">
      <c r="A4" s="8" t="s">
        <v>18</v>
      </c>
      <c r="B4" s="9">
        <v>4</v>
      </c>
      <c r="D4" s="1"/>
    </row>
    <row r="5" spans="1:13" x14ac:dyDescent="0.35">
      <c r="A5" s="8" t="s">
        <v>23</v>
      </c>
      <c r="B5" s="9">
        <v>3</v>
      </c>
    </row>
    <row r="6" spans="1:13" x14ac:dyDescent="0.35">
      <c r="A6" s="8" t="s">
        <v>27</v>
      </c>
      <c r="B6" s="9">
        <v>3</v>
      </c>
    </row>
    <row r="18" spans="1:13" ht="25.5" customHeight="1" x14ac:dyDescent="0.35">
      <c r="A18" s="10" t="s">
        <v>94</v>
      </c>
      <c r="B18" s="10"/>
      <c r="C18" s="10"/>
      <c r="D18" s="10"/>
      <c r="F18" s="14" t="s">
        <v>108</v>
      </c>
      <c r="G18" s="14"/>
      <c r="H18" s="14"/>
      <c r="I18" s="14"/>
      <c r="J18" s="14"/>
      <c r="K18" s="14"/>
      <c r="L18" s="14"/>
      <c r="M18" s="14"/>
    </row>
    <row r="19" spans="1:13" x14ac:dyDescent="0.35">
      <c r="A19" s="4" t="s">
        <v>95</v>
      </c>
      <c r="B19" s="4" t="s">
        <v>96</v>
      </c>
      <c r="C19" s="4" t="s">
        <v>97</v>
      </c>
      <c r="D19" s="4" t="s">
        <v>98</v>
      </c>
    </row>
    <row r="20" spans="1:13" x14ac:dyDescent="0.35">
      <c r="A20" s="8" t="s">
        <v>84</v>
      </c>
      <c r="B20" s="9">
        <v>390</v>
      </c>
      <c r="C20" s="9">
        <v>57</v>
      </c>
      <c r="D20" s="9">
        <v>333</v>
      </c>
    </row>
    <row r="21" spans="1:13" x14ac:dyDescent="0.35">
      <c r="A21" s="8" t="s">
        <v>86</v>
      </c>
      <c r="B21" s="9">
        <v>420</v>
      </c>
      <c r="C21" s="9">
        <v>34</v>
      </c>
      <c r="D21" s="9">
        <v>386</v>
      </c>
    </row>
    <row r="22" spans="1:13" x14ac:dyDescent="0.35">
      <c r="A22" s="8" t="s">
        <v>88</v>
      </c>
      <c r="B22" s="9">
        <v>355</v>
      </c>
      <c r="C22" s="9">
        <v>34</v>
      </c>
      <c r="D22" s="9">
        <v>321</v>
      </c>
    </row>
    <row r="23" spans="1:13" x14ac:dyDescent="0.35">
      <c r="A23" s="8"/>
      <c r="B23" s="8"/>
      <c r="C23" s="8"/>
      <c r="D23" s="8"/>
    </row>
    <row r="36" spans="1:13" ht="28" customHeight="1" x14ac:dyDescent="0.35">
      <c r="A36" s="10" t="s">
        <v>99</v>
      </c>
      <c r="B36" s="10"/>
      <c r="C36" s="10"/>
      <c r="D36" s="10"/>
      <c r="F36" s="13" t="s">
        <v>109</v>
      </c>
      <c r="G36" s="13"/>
      <c r="H36" s="13"/>
      <c r="I36" s="13"/>
      <c r="J36" s="13"/>
      <c r="K36" s="13"/>
      <c r="L36" s="13"/>
      <c r="M36" s="13"/>
    </row>
    <row r="37" spans="1:13" x14ac:dyDescent="0.35">
      <c r="A37" s="4" t="s">
        <v>100</v>
      </c>
      <c r="B37" s="4" t="s">
        <v>101</v>
      </c>
      <c r="C37" s="4" t="s">
        <v>102</v>
      </c>
      <c r="D37" s="4" t="s">
        <v>103</v>
      </c>
    </row>
    <row r="38" spans="1:13" x14ac:dyDescent="0.35">
      <c r="A38" t="s">
        <v>19</v>
      </c>
      <c r="B38">
        <v>1</v>
      </c>
      <c r="C38">
        <v>18</v>
      </c>
      <c r="D38" s="3">
        <v>13460</v>
      </c>
    </row>
    <row r="39" spans="1:13" x14ac:dyDescent="0.35">
      <c r="A39" t="s">
        <v>56</v>
      </c>
      <c r="B39">
        <v>1</v>
      </c>
      <c r="C39">
        <v>20</v>
      </c>
      <c r="D39" s="3">
        <v>17000</v>
      </c>
    </row>
    <row r="40" spans="1:13" x14ac:dyDescent="0.35">
      <c r="A40" t="s">
        <v>24</v>
      </c>
      <c r="B40">
        <v>1</v>
      </c>
      <c r="C40">
        <v>10</v>
      </c>
      <c r="D40" s="3">
        <v>13100</v>
      </c>
    </row>
    <row r="41" spans="1:13" x14ac:dyDescent="0.35">
      <c r="A41" t="s">
        <v>28</v>
      </c>
      <c r="B41">
        <v>1</v>
      </c>
      <c r="C41">
        <v>12</v>
      </c>
      <c r="D41" s="3">
        <v>11760</v>
      </c>
    </row>
    <row r="42" spans="1:13" x14ac:dyDescent="0.35">
      <c r="A42" t="s">
        <v>36</v>
      </c>
      <c r="B42">
        <v>1</v>
      </c>
      <c r="C42">
        <v>7</v>
      </c>
      <c r="D42" s="3">
        <v>14700</v>
      </c>
    </row>
    <row r="43" spans="1:13" x14ac:dyDescent="0.35">
      <c r="A43" t="s">
        <v>32</v>
      </c>
      <c r="B43">
        <v>1</v>
      </c>
      <c r="C43">
        <v>5</v>
      </c>
      <c r="D43" s="3">
        <v>6750</v>
      </c>
    </row>
    <row r="44" spans="1:13" x14ac:dyDescent="0.35">
      <c r="A44" t="s">
        <v>48</v>
      </c>
      <c r="B44">
        <v>1</v>
      </c>
      <c r="C44">
        <v>15</v>
      </c>
      <c r="D44" s="3">
        <v>13500</v>
      </c>
    </row>
    <row r="45" spans="1:13" x14ac:dyDescent="0.35">
      <c r="A45" t="s">
        <v>40</v>
      </c>
      <c r="B45">
        <v>1</v>
      </c>
      <c r="C45">
        <v>3</v>
      </c>
      <c r="D45" s="3">
        <v>6450</v>
      </c>
    </row>
    <row r="46" spans="1:13" x14ac:dyDescent="0.35">
      <c r="A46" t="s">
        <v>52</v>
      </c>
      <c r="B46">
        <v>1</v>
      </c>
      <c r="C46">
        <v>11</v>
      </c>
      <c r="D46" s="3">
        <v>6820</v>
      </c>
    </row>
    <row r="47" spans="1:13" x14ac:dyDescent="0.35">
      <c r="A47" t="s">
        <v>44</v>
      </c>
      <c r="B47">
        <v>1</v>
      </c>
      <c r="C47">
        <v>9</v>
      </c>
      <c r="D47" s="3">
        <v>15750</v>
      </c>
    </row>
    <row r="48" spans="1:13" x14ac:dyDescent="0.35">
      <c r="A48" s="1" t="s">
        <v>104</v>
      </c>
      <c r="B48" s="1">
        <f>SUM(B38:B47)</f>
        <v>10</v>
      </c>
      <c r="C48" s="1">
        <f>SUM(C38:C47)</f>
        <v>110</v>
      </c>
      <c r="D48" s="5">
        <f>SUM(D38:D47)</f>
        <v>119290</v>
      </c>
    </row>
  </sheetData>
  <mergeCells count="5">
    <mergeCell ref="A2:B2"/>
    <mergeCell ref="A18:D18"/>
    <mergeCell ref="F1:M1"/>
    <mergeCell ref="A36:D36"/>
    <mergeCell ref="F36:M3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README</vt:lpstr>
      <vt:lpstr>VISTAS</vt:lpstr>
      <vt:lpstr>ANÁLISIS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2026-04-17T22:50:01Z</dcterms:created>
  <dcterms:modified xsi:type="dcterms:W3CDTF">2026-04-17T23:26:36Z</dcterms:modified>
</cp:coreProperties>
</file>